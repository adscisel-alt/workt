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  <sheet name="Profile" sheetId="2" state="visible" r:id="rId2"/>
    <sheet name="Blachy" sheetId="3" state="visible" r:id="rId3"/>
    <sheet name="Kraty" sheetId="4" state="visible" r:id="rId4"/>
    <sheet name="Łączniki" sheetId="5" state="visible" r:id="rId5"/>
  </sheets>
  <definedNames>
    <definedName name="_xlnm._FilterDatabase" localSheetId="1" hidden="1">'Profile'!$A$4:$G$28</definedName>
    <definedName name="_xlnm._FilterDatabase" localSheetId="2" hidden="1">'Blachy'!$A$4:$F$11</definedName>
    <definedName name="_xlnm._FilterDatabase" localSheetId="4" hidden="1">'Łączniki'!$A$4:$F$35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#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FFF"/>
      </patternFill>
    </fill>
    <fill>
      <patternFill patternType="solid">
        <fgColor rgb="00F2F5FB"/>
      </patternFill>
    </fill>
    <fill>
      <patternFill patternType="solid">
        <fgColor rgb="00D9E1F2"/>
      </patternFill>
    </fill>
    <fill>
      <patternFill patternType="solid">
        <fgColor rgb="00FFF9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8"/>
      </left>
      <right style="thin">
        <color rgb="00B7C3D8"/>
      </right>
      <top style="thin">
        <color rgb="00B7C3D8"/>
      </top>
      <bottom style="thin">
        <color rgb="00B7C3D8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165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4" customWidth="1" min="3" max="3"/>
    <col width="44" customWidth="1" min="4" max="4"/>
  </cols>
  <sheetData>
    <row r="1" ht="26" customHeight="1">
      <c r="A1" s="1" t="inlineStr">
        <is>
          <t>ZAMÓWIENIE MATERIAŁÓW — ANIMEX K2, konstrukcja wsporcza pod rury</t>
        </is>
      </c>
    </row>
    <row r="2">
      <c r="A2" s="2" t="inlineStr">
        <is>
          <t>Zestawienie zbiorcze do zamówienia • rew. 00 • na podstawie zestawień stali (ZBIÓR CZ.01 i 02)</t>
        </is>
      </c>
    </row>
    <row r="4">
      <c r="A4" s="3" t="inlineStr">
        <is>
          <t>Kategoria</t>
        </is>
      </c>
      <c r="B4" s="3" t="inlineStr">
        <is>
          <t>Elementów (szt.)</t>
        </is>
      </c>
      <c r="C4" s="3" t="inlineStr">
        <is>
          <t>Masa (kg)</t>
        </is>
      </c>
      <c r="D4" s="3" t="inlineStr">
        <is>
          <t>Uwaga</t>
        </is>
      </c>
    </row>
    <row r="5">
      <c r="A5" s="4" t="inlineStr">
        <is>
          <t>Profile (kształtowniki, rury, pręty, płaskowniki)</t>
        </is>
      </c>
      <c r="B5" s="5" t="n">
        <v>268</v>
      </c>
      <c r="C5" s="6" t="n">
        <v>4089.14</v>
      </c>
      <c r="D5" s="4" t="inlineStr">
        <is>
          <t>arkusz „Profile” — zamawiać na mb / sztaby 6 m</t>
        </is>
      </c>
    </row>
    <row r="6">
      <c r="A6" s="7" t="inlineStr">
        <is>
          <t>Blachy</t>
        </is>
      </c>
      <c r="B6" s="8" t="n">
        <v>380</v>
      </c>
      <c r="C6" s="9" t="n">
        <v>634.17</v>
      </c>
      <c r="D6" s="7" t="inlineStr">
        <is>
          <t>arkusz „Blachy” — wg grubości / powierzchni</t>
        </is>
      </c>
    </row>
    <row r="7">
      <c r="A7" s="4" t="inlineStr">
        <is>
          <t>Kraty pomostowe</t>
        </is>
      </c>
      <c r="B7" s="5" t="n">
        <v>18</v>
      </c>
      <c r="C7" s="6" t="n">
        <v>477.62</v>
      </c>
      <c r="D7" s="4" t="inlineStr">
        <is>
          <t>arkusz „Kraty”</t>
        </is>
      </c>
    </row>
    <row r="8">
      <c r="A8" s="7" t="inlineStr">
        <is>
          <t>Łączniki (śruby, nakrętki, podkładki)</t>
        </is>
      </c>
      <c r="B8" s="8" t="n">
        <v>1472</v>
      </c>
      <c r="C8" s="9" t="n">
        <v>118.18</v>
      </c>
      <c r="D8" s="7" t="inlineStr">
        <is>
          <t>arkusz „Łączniki” — w sztukach</t>
        </is>
      </c>
    </row>
    <row r="9">
      <c r="A9" s="10" t="inlineStr">
        <is>
          <t>RAZEM (stal konstrukcyjna + łączniki)</t>
        </is>
      </c>
      <c r="B9" s="11">
        <f>SUM(B5:B8)</f>
        <v>2138</v>
      </c>
      <c r="C9" s="12">
        <f>SUM(C5:C8)</f>
        <v>5319.11</v>
      </c>
      <c r="D9" s="10" t="inlineStr">
        <is>
          <t>bez dodatku na spoiny</t>
        </is>
      </c>
    </row>
    <row r="11">
      <c r="A11" s="13" t="inlineStr">
        <is>
          <t>Uwagi:
• Profile i blachy wyliczono z pliku master (ZESTAWIENIE STALI — CAŁOŚĆ). Masa elementów wg oryginału: 5 200,87 kg (+104,02 kg spoiny).
• Łączniki z pliku ZESTAWIENIE STALI — ŁĄCZNIKI OGÓŁEM. Powtórki (ta sama śruba/nakrętka/podkładka) zsumowano.
• Nie doliczono zapasu ani odpadu — ilości = zapotrzebowanie netto z projektu.
• Profile: „sztaby 6 m” to szacunek (całk. długość ÷ 6, w górę) — bez optymalizacji rozkroju.</t>
        </is>
      </c>
    </row>
    <row r="12"/>
    <row r="13"/>
    <row r="14"/>
    <row r="15"/>
  </sheetData>
  <mergeCells count="3">
    <mergeCell ref="A1:D1"/>
    <mergeCell ref="A11:D1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8" customWidth="1" min="3" max="3"/>
    <col width="18" customWidth="1" min="4" max="4"/>
    <col width="16" customWidth="1" min="5" max="5"/>
    <col width="15" customWidth="1" min="6" max="6"/>
    <col width="18" customWidth="1" min="7" max="7"/>
  </cols>
  <sheetData>
    <row r="1" ht="26" customHeight="1">
      <c r="A1" s="1" t="inlineStr">
        <is>
          <t>PROFILE — do zamówienia wg przekroju</t>
        </is>
      </c>
    </row>
    <row r="2">
      <c r="A2" s="2" t="inlineStr">
        <is>
          <t>Kształtowniki, rury (RK/RP), pręty (ROND), płaskowniki (PL), kątowniki (LN) • ilości netto</t>
        </is>
      </c>
    </row>
    <row r="4">
      <c r="A4" s="3" t="inlineStr">
        <is>
          <t>Przekrój</t>
        </is>
      </c>
      <c r="B4" s="3" t="inlineStr">
        <is>
          <t>Gatunek</t>
        </is>
      </c>
      <c r="C4" s="3" t="inlineStr">
        <is>
          <t>Sztuk</t>
        </is>
      </c>
      <c r="D4" s="3" t="inlineStr">
        <is>
          <t>Długość całk. [mb]</t>
        </is>
      </c>
      <c r="E4" s="3" t="inlineStr">
        <is>
          <t>Masa jedn. [kg/m]</t>
        </is>
      </c>
      <c r="F4" s="3" t="inlineStr">
        <is>
          <t>Masa całk. [kg]</t>
        </is>
      </c>
      <c r="G4" s="3" t="inlineStr">
        <is>
          <t>Sztaby 6 m (orient.)</t>
        </is>
      </c>
    </row>
    <row r="5">
      <c r="A5" s="14" t="inlineStr">
        <is>
          <t>CE 120</t>
        </is>
      </c>
      <c r="B5" s="15" t="inlineStr">
        <is>
          <t>S 355</t>
        </is>
      </c>
      <c r="C5" s="5" t="n">
        <v>1</v>
      </c>
      <c r="D5" s="6" t="n">
        <v>1.93</v>
      </c>
      <c r="E5" s="16" t="n">
        <v>10.4</v>
      </c>
      <c r="F5" s="6" t="n">
        <v>20.05</v>
      </c>
      <c r="G5" s="5">
        <f>ROUNDUP(D5/6,0)</f>
        <v>1</v>
      </c>
    </row>
    <row r="6">
      <c r="A6" s="17" t="inlineStr">
        <is>
          <t>HEA 120</t>
        </is>
      </c>
      <c r="B6" s="18" t="inlineStr">
        <is>
          <t>S 355</t>
        </is>
      </c>
      <c r="C6" s="8" t="n">
        <v>19</v>
      </c>
      <c r="D6" s="9" t="n">
        <v>60.14</v>
      </c>
      <c r="E6" s="19" t="n">
        <v>19.9</v>
      </c>
      <c r="F6" s="9" t="n">
        <v>1196.71</v>
      </c>
      <c r="G6" s="8">
        <f>ROUNDUP(D6/6,0)</f>
        <v>11</v>
      </c>
    </row>
    <row r="7">
      <c r="A7" s="14" t="inlineStr">
        <is>
          <t>LN 50x30x3</t>
        </is>
      </c>
      <c r="B7" s="15" t="inlineStr">
        <is>
          <t>S 235</t>
        </is>
      </c>
      <c r="C7" s="5" t="n">
        <v>2</v>
      </c>
      <c r="D7" s="6" t="n">
        <v>0.06</v>
      </c>
      <c r="E7" s="16" t="n">
        <v>1.77</v>
      </c>
      <c r="F7" s="6" t="n">
        <v>0.11</v>
      </c>
      <c r="G7" s="5">
        <f>ROUNDUP(D7/6,0)</f>
        <v>1</v>
      </c>
    </row>
    <row r="8">
      <c r="A8" s="17" t="inlineStr">
        <is>
          <t>PL 50x3</t>
        </is>
      </c>
      <c r="B8" s="18" t="inlineStr">
        <is>
          <t>S 235</t>
        </is>
      </c>
      <c r="C8" s="8" t="n">
        <v>13</v>
      </c>
      <c r="D8" s="9" t="n">
        <v>34.53</v>
      </c>
      <c r="E8" s="19" t="n">
        <v>1.178</v>
      </c>
      <c r="F8" s="9" t="n">
        <v>40.66</v>
      </c>
      <c r="G8" s="8">
        <f>ROUNDUP(D8/6,0)</f>
        <v>6</v>
      </c>
    </row>
    <row r="9">
      <c r="A9" s="14" t="inlineStr">
        <is>
          <t>RK 100x3</t>
        </is>
      </c>
      <c r="B9" s="15" t="inlineStr">
        <is>
          <t>S 235</t>
        </is>
      </c>
      <c r="C9" s="5" t="n">
        <v>13</v>
      </c>
      <c r="D9" s="6" t="n">
        <v>41.53</v>
      </c>
      <c r="E9" s="16" t="n">
        <v>8.960000000000001</v>
      </c>
      <c r="F9" s="6" t="n">
        <v>372.15</v>
      </c>
      <c r="G9" s="5">
        <f>ROUNDUP(D9/6,0)</f>
        <v>7</v>
      </c>
    </row>
    <row r="10">
      <c r="A10" s="17" t="inlineStr">
        <is>
          <t>RK 25x2</t>
        </is>
      </c>
      <c r="B10" s="18" t="inlineStr">
        <is>
          <t>S 235</t>
        </is>
      </c>
      <c r="C10" s="8" t="n">
        <v>4</v>
      </c>
      <c r="D10" s="9" t="n">
        <v>3.26</v>
      </c>
      <c r="E10" s="19" t="n">
        <v>1.36</v>
      </c>
      <c r="F10" s="9" t="n">
        <v>4.44</v>
      </c>
      <c r="G10" s="8">
        <f>ROUNDUP(D10/6,0)</f>
        <v>1</v>
      </c>
    </row>
    <row r="11">
      <c r="A11" s="14" t="inlineStr">
        <is>
          <t>RK 30x2</t>
        </is>
      </c>
      <c r="B11" s="15" t="inlineStr">
        <is>
          <t>S 235</t>
        </is>
      </c>
      <c r="C11" s="5" t="n">
        <v>2</v>
      </c>
      <c r="D11" s="6" t="n">
        <v>1.2</v>
      </c>
      <c r="E11" s="16" t="n">
        <v>1.68</v>
      </c>
      <c r="F11" s="6" t="n">
        <v>2.02</v>
      </c>
      <c r="G11" s="5">
        <f>ROUNDUP(D11/6,0)</f>
        <v>1</v>
      </c>
    </row>
    <row r="12">
      <c r="A12" s="17" t="inlineStr">
        <is>
          <t>RK 40x2</t>
        </is>
      </c>
      <c r="B12" s="18" t="inlineStr">
        <is>
          <t>S 235</t>
        </is>
      </c>
      <c r="C12" s="8" t="n">
        <v>26</v>
      </c>
      <c r="D12" s="9" t="n">
        <v>18.68</v>
      </c>
      <c r="E12" s="19" t="n">
        <v>2.31</v>
      </c>
      <c r="F12" s="9" t="n">
        <v>43.16</v>
      </c>
      <c r="G12" s="8">
        <f>ROUNDUP(D12/6,0)</f>
        <v>4</v>
      </c>
    </row>
    <row r="13">
      <c r="A13" s="14" t="inlineStr">
        <is>
          <t>RK 40x2</t>
        </is>
      </c>
      <c r="B13" s="15" t="inlineStr">
        <is>
          <t>STAL</t>
        </is>
      </c>
      <c r="C13" s="5" t="n">
        <v>1</v>
      </c>
      <c r="D13" s="6" t="n">
        <v>0.38</v>
      </c>
      <c r="E13" s="16" t="n">
        <v>2.31</v>
      </c>
      <c r="F13" s="6" t="n">
        <v>0.88</v>
      </c>
      <c r="G13" s="5">
        <f>ROUNDUP(D13/6,0)</f>
        <v>1</v>
      </c>
    </row>
    <row r="14">
      <c r="A14" s="17" t="inlineStr">
        <is>
          <t>RK 40x3</t>
        </is>
      </c>
      <c r="B14" s="18" t="inlineStr">
        <is>
          <t>S 235</t>
        </is>
      </c>
      <c r="C14" s="8" t="n">
        <v>24</v>
      </c>
      <c r="D14" s="9" t="n">
        <v>22.68</v>
      </c>
      <c r="E14" s="19" t="n">
        <v>3.3</v>
      </c>
      <c r="F14" s="9" t="n">
        <v>74.84</v>
      </c>
      <c r="G14" s="8">
        <f>ROUNDUP(D14/6,0)</f>
        <v>4</v>
      </c>
    </row>
    <row r="15">
      <c r="A15" s="14" t="inlineStr">
        <is>
          <t>RK 50x2</t>
        </is>
      </c>
      <c r="B15" s="15" t="inlineStr">
        <is>
          <t>S 235</t>
        </is>
      </c>
      <c r="C15" s="5" t="n">
        <v>9</v>
      </c>
      <c r="D15" s="6" t="n">
        <v>17.12</v>
      </c>
      <c r="E15" s="16" t="n">
        <v>2.93</v>
      </c>
      <c r="F15" s="6" t="n">
        <v>50.18</v>
      </c>
      <c r="G15" s="5">
        <f>ROUNDUP(D15/6,0)</f>
        <v>3</v>
      </c>
    </row>
    <row r="16">
      <c r="A16" s="17" t="inlineStr">
        <is>
          <t>RK 50x50x4</t>
        </is>
      </c>
      <c r="B16" s="18" t="inlineStr">
        <is>
          <t>S 355</t>
        </is>
      </c>
      <c r="C16" s="8" t="n">
        <v>14</v>
      </c>
      <c r="D16" s="9" t="n">
        <v>5.73</v>
      </c>
      <c r="E16" s="19" t="n">
        <v>5.64</v>
      </c>
      <c r="F16" s="9" t="n">
        <v>32.31</v>
      </c>
      <c r="G16" s="8">
        <f>ROUNDUP(D16/6,0)</f>
        <v>1</v>
      </c>
    </row>
    <row r="17">
      <c r="A17" s="14" t="inlineStr">
        <is>
          <t>RK 60x60x3</t>
        </is>
      </c>
      <c r="B17" s="15" t="inlineStr">
        <is>
          <t>S 235</t>
        </is>
      </c>
      <c r="C17" s="5" t="n">
        <v>3</v>
      </c>
      <c r="D17" s="6" t="n">
        <v>1.89</v>
      </c>
      <c r="E17" s="16" t="n">
        <v>5.29</v>
      </c>
      <c r="F17" s="6" t="n">
        <v>10</v>
      </c>
      <c r="G17" s="5">
        <f>ROUNDUP(D17/6,0)</f>
        <v>1</v>
      </c>
    </row>
    <row r="18">
      <c r="A18" s="17" t="inlineStr">
        <is>
          <t>RK 60x60x4</t>
        </is>
      </c>
      <c r="B18" s="18" t="inlineStr">
        <is>
          <t>S 355</t>
        </is>
      </c>
      <c r="C18" s="8" t="n">
        <v>13</v>
      </c>
      <c r="D18" s="9" t="n">
        <v>6.54</v>
      </c>
      <c r="E18" s="19" t="n">
        <v>6.9</v>
      </c>
      <c r="F18" s="9" t="n">
        <v>45.09</v>
      </c>
      <c r="G18" s="8">
        <f>ROUNDUP(D18/6,0)</f>
        <v>2</v>
      </c>
    </row>
    <row r="19">
      <c r="A19" s="14" t="inlineStr">
        <is>
          <t>RK 80x80x3</t>
        </is>
      </c>
      <c r="B19" s="15" t="inlineStr">
        <is>
          <t>S 355</t>
        </is>
      </c>
      <c r="C19" s="5" t="n">
        <v>11</v>
      </c>
      <c r="D19" s="6" t="n">
        <v>5.5</v>
      </c>
      <c r="E19" s="16" t="n">
        <v>7.18</v>
      </c>
      <c r="F19" s="6" t="n">
        <v>39.49</v>
      </c>
      <c r="G19" s="5">
        <f>ROUNDUP(D19/6,0)</f>
        <v>1</v>
      </c>
    </row>
    <row r="20">
      <c r="A20" s="17" t="inlineStr">
        <is>
          <t>RK 80x80x4</t>
        </is>
      </c>
      <c r="B20" s="18" t="inlineStr">
        <is>
          <t>S 355</t>
        </is>
      </c>
      <c r="C20" s="8" t="n">
        <v>20</v>
      </c>
      <c r="D20" s="9" t="n">
        <v>37.2</v>
      </c>
      <c r="E20" s="19" t="n">
        <v>9.41</v>
      </c>
      <c r="F20" s="9" t="n">
        <v>350.03</v>
      </c>
      <c r="G20" s="8">
        <f>ROUNDUP(D20/6,0)</f>
        <v>7</v>
      </c>
    </row>
    <row r="21">
      <c r="A21" s="14" t="inlineStr">
        <is>
          <t>ROND 16</t>
        </is>
      </c>
      <c r="B21" s="15" t="inlineStr">
        <is>
          <t>S 235</t>
        </is>
      </c>
      <c r="C21" s="5" t="n">
        <v>2</v>
      </c>
      <c r="D21" s="6" t="n">
        <v>11.42</v>
      </c>
      <c r="E21" s="16" t="n">
        <v>1.58</v>
      </c>
      <c r="F21" s="6" t="n">
        <v>18.04</v>
      </c>
      <c r="G21" s="5">
        <f>ROUNDUP(D21/6,0)</f>
        <v>2</v>
      </c>
    </row>
    <row r="22">
      <c r="A22" s="17" t="inlineStr">
        <is>
          <t>RP 100x80x3</t>
        </is>
      </c>
      <c r="B22" s="18" t="inlineStr">
        <is>
          <t>S 235</t>
        </is>
      </c>
      <c r="C22" s="8" t="n">
        <v>1</v>
      </c>
      <c r="D22" s="9" t="n">
        <v>5.08</v>
      </c>
      <c r="E22" s="19" t="n">
        <v>8.01</v>
      </c>
      <c r="F22" s="9" t="n">
        <v>40.66</v>
      </c>
      <c r="G22" s="8">
        <f>ROUNDUP(D22/6,0)</f>
        <v>1</v>
      </c>
    </row>
    <row r="23">
      <c r="A23" s="14" t="inlineStr">
        <is>
          <t>RP 120x60x4</t>
        </is>
      </c>
      <c r="B23" s="15" t="inlineStr">
        <is>
          <t>S 355</t>
        </is>
      </c>
      <c r="C23" s="5" t="n">
        <v>59</v>
      </c>
      <c r="D23" s="6" t="n">
        <v>104.64</v>
      </c>
      <c r="E23" s="16" t="n">
        <v>10.7</v>
      </c>
      <c r="F23" s="6" t="n">
        <v>1119.73</v>
      </c>
      <c r="G23" s="5">
        <f>ROUNDUP(D23/6,0)</f>
        <v>18</v>
      </c>
    </row>
    <row r="24">
      <c r="A24" s="17" t="inlineStr">
        <is>
          <t>RP 120x80x3</t>
        </is>
      </c>
      <c r="B24" s="18" t="inlineStr">
        <is>
          <t>S 235</t>
        </is>
      </c>
      <c r="C24" s="8" t="n">
        <v>6</v>
      </c>
      <c r="D24" s="9" t="n">
        <v>30.46</v>
      </c>
      <c r="E24" s="19" t="n">
        <v>8.960000000000001</v>
      </c>
      <c r="F24" s="9" t="n">
        <v>272.88</v>
      </c>
      <c r="G24" s="8">
        <f>ROUNDUP(D24/6,0)</f>
        <v>6</v>
      </c>
    </row>
    <row r="25">
      <c r="A25" s="14" t="inlineStr">
        <is>
          <t>RP 120x80x3</t>
        </is>
      </c>
      <c r="B25" s="15" t="inlineStr">
        <is>
          <t>S 355</t>
        </is>
      </c>
      <c r="C25" s="5" t="n">
        <v>2</v>
      </c>
      <c r="D25" s="6" t="n">
        <v>31.4</v>
      </c>
      <c r="E25" s="16" t="n">
        <v>8.960000000000001</v>
      </c>
      <c r="F25" s="6" t="n">
        <v>281.34</v>
      </c>
      <c r="G25" s="5">
        <f>ROUNDUP(D25/6,0)</f>
        <v>6</v>
      </c>
    </row>
    <row r="26">
      <c r="A26" s="17" t="inlineStr">
        <is>
          <t>RP 30x20x2</t>
        </is>
      </c>
      <c r="B26" s="18" t="inlineStr">
        <is>
          <t>S 235</t>
        </is>
      </c>
      <c r="C26" s="8" t="n">
        <v>17</v>
      </c>
      <c r="D26" s="9" t="n">
        <v>8.970000000000001</v>
      </c>
      <c r="E26" s="19" t="n">
        <v>1.36</v>
      </c>
      <c r="F26" s="9" t="n">
        <v>12.2</v>
      </c>
      <c r="G26" s="8">
        <f>ROUNDUP(D26/6,0)</f>
        <v>2</v>
      </c>
    </row>
    <row r="27">
      <c r="A27" s="14" t="inlineStr">
        <is>
          <t>RP 50x30x5</t>
        </is>
      </c>
      <c r="B27" s="15" t="inlineStr">
        <is>
          <t>S 355</t>
        </is>
      </c>
      <c r="C27" s="5" t="n">
        <v>2</v>
      </c>
      <c r="D27" s="6" t="n">
        <v>2.4</v>
      </c>
      <c r="E27" s="16" t="n">
        <v>5.28</v>
      </c>
      <c r="F27" s="6" t="n">
        <v>12.67</v>
      </c>
      <c r="G27" s="5">
        <f>ROUNDUP(D27/6,0)</f>
        <v>1</v>
      </c>
    </row>
    <row r="28">
      <c r="A28" s="17" t="inlineStr">
        <is>
          <t>RP 60x40x3</t>
        </is>
      </c>
      <c r="B28" s="18" t="inlineStr">
        <is>
          <t>S 235</t>
        </is>
      </c>
      <c r="C28" s="8" t="n">
        <v>4</v>
      </c>
      <c r="D28" s="9" t="n">
        <v>11.38</v>
      </c>
      <c r="E28" s="19" t="n">
        <v>4.35</v>
      </c>
      <c r="F28" s="9" t="n">
        <v>49.5</v>
      </c>
      <c r="G28" s="8">
        <f>ROUNDUP(D28/6,0)</f>
        <v>2</v>
      </c>
    </row>
    <row r="29">
      <c r="A29" s="10" t="inlineStr">
        <is>
          <t>RAZEM</t>
        </is>
      </c>
      <c r="B29" s="20" t="inlineStr"/>
      <c r="C29" s="11">
        <f>SUM(C5:C28)</f>
        <v>268</v>
      </c>
      <c r="D29" s="12">
        <f>SUM(D5:D28)</f>
        <v>464.12</v>
      </c>
      <c r="E29" s="20" t="inlineStr"/>
      <c r="F29" s="12">
        <f>SUM(F5:F28)</f>
        <v>4089.14</v>
      </c>
      <c r="G29" s="11">
        <f>SUM(G5:G28)</f>
        <v>90</v>
      </c>
    </row>
  </sheetData>
  <autoFilter ref="A4:G28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5" customWidth="1" min="3" max="3"/>
    <col width="17" customWidth="1" min="4" max="4"/>
    <col width="13" customWidth="1" min="5" max="5"/>
    <col width="62" customWidth="1" min="6" max="6"/>
  </cols>
  <sheetData>
    <row r="1" ht="26" customHeight="1">
      <c r="A1" s="1" t="inlineStr">
        <is>
          <t>BLACHY — do zamówienia wg grubości</t>
        </is>
      </c>
    </row>
    <row r="2">
      <c r="A2" s="2" t="inlineStr">
        <is>
          <t>Podstawa zamówienia: grubość + gatunek + powierzchnia (blachy docina się z formatek)</t>
        </is>
      </c>
    </row>
    <row r="4">
      <c r="A4" s="3" t="inlineStr">
        <is>
          <t>Grubość [mm]</t>
        </is>
      </c>
      <c r="B4" s="3" t="inlineStr">
        <is>
          <t>Gatunek</t>
        </is>
      </c>
      <c r="C4" s="3" t="inlineStr">
        <is>
          <t>Elementów [szt]</t>
        </is>
      </c>
      <c r="D4" s="3" t="inlineStr">
        <is>
          <t>Powierzchnia [m²]</t>
        </is>
      </c>
      <c r="E4" s="3" t="inlineStr">
        <is>
          <t>Masa [kg]</t>
        </is>
      </c>
      <c r="F4" s="3" t="inlineStr">
        <is>
          <t>Uwaga</t>
        </is>
      </c>
    </row>
    <row r="5">
      <c r="A5" s="21" t="n">
        <v>4</v>
      </c>
      <c r="B5" s="22" t="inlineStr">
        <is>
          <t>S 235</t>
        </is>
      </c>
      <c r="C5" s="23" t="n">
        <v>1</v>
      </c>
      <c r="D5" s="24" t="n">
        <v>0.177</v>
      </c>
      <c r="E5" s="25" t="n">
        <v>53.29</v>
      </c>
      <c r="F5" s="26" t="inlineStr">
        <is>
          <t>sprawdz mase w oryginale (poz. bl ryf 100 'Blacha 4x300' L=590mm: 53.3 kg vs teor. 5.6 kg)</t>
        </is>
      </c>
    </row>
    <row r="6">
      <c r="A6" s="27" t="n">
        <v>5</v>
      </c>
      <c r="B6" s="18" t="inlineStr">
        <is>
          <t>S 235</t>
        </is>
      </c>
      <c r="C6" s="8" t="n">
        <v>21</v>
      </c>
      <c r="D6" s="19" t="n">
        <v>0.147</v>
      </c>
      <c r="E6" s="9" t="n">
        <v>5.77</v>
      </c>
      <c r="F6" s="7" t="inlineStr"/>
    </row>
    <row r="7">
      <c r="A7" s="28" t="n">
        <v>6</v>
      </c>
      <c r="B7" s="15" t="inlineStr">
        <is>
          <t>S 235</t>
        </is>
      </c>
      <c r="C7" s="5" t="n">
        <v>4</v>
      </c>
      <c r="D7" s="16" t="n">
        <v>0.019</v>
      </c>
      <c r="E7" s="6" t="n">
        <v>0.91</v>
      </c>
      <c r="F7" s="4" t="inlineStr"/>
    </row>
    <row r="8">
      <c r="A8" s="27" t="n">
        <v>8</v>
      </c>
      <c r="B8" s="18" t="inlineStr">
        <is>
          <t>S 235</t>
        </is>
      </c>
      <c r="C8" s="8" t="n">
        <v>82</v>
      </c>
      <c r="D8" s="19" t="n">
        <v>1.832</v>
      </c>
      <c r="E8" s="9" t="n">
        <v>115.11</v>
      </c>
      <c r="F8" s="7" t="inlineStr"/>
    </row>
    <row r="9">
      <c r="A9" s="28" t="n">
        <v>10</v>
      </c>
      <c r="B9" s="15" t="inlineStr">
        <is>
          <t>S 235</t>
        </is>
      </c>
      <c r="C9" s="5" t="n">
        <v>223</v>
      </c>
      <c r="D9" s="16" t="n">
        <v>3.532</v>
      </c>
      <c r="E9" s="6" t="n">
        <v>277.4</v>
      </c>
      <c r="F9" s="4" t="inlineStr"/>
    </row>
    <row r="10">
      <c r="A10" s="27" t="n">
        <v>12</v>
      </c>
      <c r="B10" s="18" t="inlineStr">
        <is>
          <t>S 235</t>
        </is>
      </c>
      <c r="C10" s="8" t="n">
        <v>13</v>
      </c>
      <c r="D10" s="19" t="n">
        <v>0.3</v>
      </c>
      <c r="E10" s="9" t="n">
        <v>28.27</v>
      </c>
      <c r="F10" s="7" t="inlineStr"/>
    </row>
    <row r="11">
      <c r="A11" s="28" t="n">
        <v>15</v>
      </c>
      <c r="B11" s="15" t="inlineStr">
        <is>
          <t>S 235</t>
        </is>
      </c>
      <c r="C11" s="5" t="n">
        <v>36</v>
      </c>
      <c r="D11" s="16" t="n">
        <v>1.302</v>
      </c>
      <c r="E11" s="6" t="n">
        <v>153.42</v>
      </c>
      <c r="F11" s="4" t="inlineStr"/>
    </row>
    <row r="12">
      <c r="A12" s="10" t="inlineStr">
        <is>
          <t>RAZEM</t>
        </is>
      </c>
      <c r="B12" s="20" t="inlineStr"/>
      <c r="C12" s="11">
        <f>SUM(C5:C11)</f>
        <v>380</v>
      </c>
      <c r="D12" s="29">
        <f>SUM(D5:D11)</f>
        <v>7.309</v>
      </c>
      <c r="E12" s="12">
        <f>SUM(E5:E11)</f>
        <v>634.17</v>
      </c>
      <c r="F12" s="20" t="inlineStr"/>
    </row>
  </sheetData>
  <autoFilter ref="A4:F11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22" customWidth="1" min="4" max="4"/>
    <col width="36" customWidth="1" min="5" max="5"/>
  </cols>
  <sheetData>
    <row r="1" ht="26" customHeight="1">
      <c r="A1" s="1" t="inlineStr">
        <is>
          <t>KRATY POMOSTOWE — do zamówienia</t>
        </is>
      </c>
    </row>
    <row r="2">
      <c r="A2" s="2" t="inlineStr">
        <is>
          <t>Powierzchnia orientacyjna przy ~35 kg/m² — potwierdzić typ i wymiary paneli u dostawcy</t>
        </is>
      </c>
    </row>
    <row r="4">
      <c r="A4" s="3" t="inlineStr">
        <is>
          <t>Typ</t>
        </is>
      </c>
      <c r="B4" s="3" t="inlineStr">
        <is>
          <t>Sztuk</t>
        </is>
      </c>
      <c r="C4" s="3" t="inlineStr">
        <is>
          <t>Masa [kg]</t>
        </is>
      </c>
      <c r="D4" s="3" t="inlineStr">
        <is>
          <t>Powierzchnia orient. [m²]</t>
        </is>
      </c>
      <c r="E4" s="3" t="inlineStr">
        <is>
          <t>Uwaga</t>
        </is>
      </c>
    </row>
    <row r="5">
      <c r="A5" s="14" t="inlineStr">
        <is>
          <t>kratka1</t>
        </is>
      </c>
      <c r="B5" s="5" t="n">
        <v>18</v>
      </c>
      <c r="C5" s="6" t="n">
        <v>477.62</v>
      </c>
      <c r="D5" s="6">
        <f>C5/35</f>
        <v>13.646286</v>
      </c>
      <c r="E5" s="4" t="inlineStr">
        <is>
          <t>potwierdź typ kraty i wymiary paneli</t>
        </is>
      </c>
    </row>
    <row r="6">
      <c r="A6" s="10" t="inlineStr">
        <is>
          <t>RAZEM</t>
        </is>
      </c>
      <c r="B6" s="11">
        <f>SUM(B5:B5)</f>
        <v>18</v>
      </c>
      <c r="C6" s="12">
        <f>SUM(C5:C5)</f>
        <v>477.62</v>
      </c>
      <c r="D6" s="12">
        <f>SUM(D5:D5)</f>
        <v>13.646286</v>
      </c>
      <c r="E6" s="2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3" customWidth="1" min="4" max="4"/>
    <col width="12" customWidth="1" min="5" max="5"/>
    <col width="12" customWidth="1" min="6" max="6"/>
  </cols>
  <sheetData>
    <row r="1" ht="26" customHeight="1">
      <c r="A1" s="1" t="inlineStr">
        <is>
          <t>ŁĄCZNIKI — do zamówienia (śruby / nakrętki / podkładki)</t>
        </is>
      </c>
    </row>
    <row r="2">
      <c r="A2" s="2" t="inlineStr">
        <is>
          <t>Powtórki zsumowane • śruby rozbite wg długości • w sztukach</t>
        </is>
      </c>
    </row>
    <row r="4">
      <c r="A4" s="3" t="inlineStr">
        <is>
          <t>Typ</t>
        </is>
      </c>
      <c r="B4" s="3" t="inlineStr">
        <is>
          <t>Rozmiar</t>
        </is>
      </c>
      <c r="C4" s="3" t="inlineStr">
        <is>
          <t>Klasa</t>
        </is>
      </c>
      <c r="D4" s="3" t="inlineStr">
        <is>
          <t>Długość [mm]</t>
        </is>
      </c>
      <c r="E4" s="3" t="inlineStr">
        <is>
          <t>Ilość [szt]</t>
        </is>
      </c>
      <c r="F4" s="3" t="inlineStr">
        <is>
          <t>Masa [kg]</t>
        </is>
      </c>
    </row>
    <row r="5">
      <c r="A5" s="14" t="inlineStr">
        <is>
          <t>Śruba</t>
        </is>
      </c>
      <c r="B5" s="15" t="inlineStr">
        <is>
          <t>M12</t>
        </is>
      </c>
      <c r="C5" s="15" t="n">
        <v>4.6</v>
      </c>
      <c r="D5" s="5" t="n">
        <v>130</v>
      </c>
      <c r="E5" s="5" t="n">
        <v>19</v>
      </c>
      <c r="F5" s="6" t="n">
        <v>2.86</v>
      </c>
    </row>
    <row r="6">
      <c r="A6" s="17" t="inlineStr">
        <is>
          <t>Śruba</t>
        </is>
      </c>
      <c r="B6" s="18" t="inlineStr">
        <is>
          <t>M12</t>
        </is>
      </c>
      <c r="C6" s="18" t="n">
        <v>8.800000000000001</v>
      </c>
      <c r="D6" s="8" t="n">
        <v>660</v>
      </c>
      <c r="E6" s="8" t="n">
        <v>10</v>
      </c>
      <c r="F6" s="9" t="n">
        <v>6.21</v>
      </c>
    </row>
    <row r="7">
      <c r="A7" s="14" t="inlineStr">
        <is>
          <t>Śruba</t>
        </is>
      </c>
      <c r="B7" s="15" t="inlineStr">
        <is>
          <t>M14</t>
        </is>
      </c>
      <c r="C7" s="15" t="n">
        <v>8.800000000000001</v>
      </c>
      <c r="D7" s="5" t="n">
        <v>55</v>
      </c>
      <c r="E7" s="5" t="n">
        <v>30</v>
      </c>
      <c r="F7" s="6" t="n">
        <v>3.67</v>
      </c>
    </row>
    <row r="8">
      <c r="A8" s="17" t="inlineStr">
        <is>
          <t>Śruba</t>
        </is>
      </c>
      <c r="B8" s="18" t="inlineStr">
        <is>
          <t>M14</t>
        </is>
      </c>
      <c r="C8" s="18" t="n">
        <v>8.800000000000001</v>
      </c>
      <c r="D8" s="8" t="n">
        <v>100</v>
      </c>
      <c r="E8" s="8" t="n">
        <v>12</v>
      </c>
      <c r="F8" s="9" t="n">
        <v>2.12</v>
      </c>
    </row>
    <row r="9">
      <c r="A9" s="14" t="inlineStr">
        <is>
          <t>Śruba</t>
        </is>
      </c>
      <c r="B9" s="15" t="inlineStr">
        <is>
          <t>M16</t>
        </is>
      </c>
      <c r="C9" s="15" t="n">
        <v>8.800000000000001</v>
      </c>
      <c r="D9" s="5" t="n">
        <v>45</v>
      </c>
      <c r="E9" s="5" t="n">
        <v>144</v>
      </c>
      <c r="F9" s="6" t="n">
        <v>22.26</v>
      </c>
    </row>
    <row r="10">
      <c r="A10" s="17" t="inlineStr">
        <is>
          <t>Śruba</t>
        </is>
      </c>
      <c r="B10" s="18" t="inlineStr">
        <is>
          <t>M16</t>
        </is>
      </c>
      <c r="C10" s="18" t="n">
        <v>8.800000000000001</v>
      </c>
      <c r="D10" s="8" t="n">
        <v>60</v>
      </c>
      <c r="E10" s="8" t="n">
        <v>16</v>
      </c>
      <c r="F10" s="9" t="n">
        <v>2.85</v>
      </c>
    </row>
    <row r="11">
      <c r="A11" s="14" t="inlineStr">
        <is>
          <t>Śruba</t>
        </is>
      </c>
      <c r="B11" s="15" t="inlineStr">
        <is>
          <t>M16</t>
        </is>
      </c>
      <c r="C11" s="15" t="n">
        <v>8.800000000000001</v>
      </c>
      <c r="D11" s="5" t="n">
        <v>105</v>
      </c>
      <c r="E11" s="5" t="n">
        <v>4</v>
      </c>
      <c r="F11" s="6" t="n">
        <v>1</v>
      </c>
    </row>
    <row r="12">
      <c r="A12" s="17" t="inlineStr">
        <is>
          <t>Śruba</t>
        </is>
      </c>
      <c r="B12" s="18" t="inlineStr">
        <is>
          <t>M16</t>
        </is>
      </c>
      <c r="C12" s="18" t="n">
        <v>8.800000000000001</v>
      </c>
      <c r="D12" s="8" t="n">
        <v>110</v>
      </c>
      <c r="E12" s="8" t="n">
        <v>16</v>
      </c>
      <c r="F12" s="9" t="n">
        <v>4.12</v>
      </c>
    </row>
    <row r="13">
      <c r="A13" s="14" t="inlineStr">
        <is>
          <t>Śruba</t>
        </is>
      </c>
      <c r="B13" s="15" t="inlineStr">
        <is>
          <t>M16</t>
        </is>
      </c>
      <c r="C13" s="15" t="n">
        <v>8.800000000000001</v>
      </c>
      <c r="D13" s="5" t="n">
        <v>125</v>
      </c>
      <c r="E13" s="5" t="n">
        <v>24</v>
      </c>
      <c r="F13" s="6" t="n">
        <v>6.74</v>
      </c>
    </row>
    <row r="14">
      <c r="A14" s="17" t="inlineStr">
        <is>
          <t>Śruba</t>
        </is>
      </c>
      <c r="B14" s="18" t="inlineStr">
        <is>
          <t>M16</t>
        </is>
      </c>
      <c r="C14" s="18" t="n">
        <v>4.6</v>
      </c>
      <c r="D14" s="8" t="n">
        <v>160</v>
      </c>
      <c r="E14" s="8" t="n">
        <v>20</v>
      </c>
      <c r="F14" s="9" t="n">
        <v>6.72</v>
      </c>
    </row>
    <row r="15">
      <c r="A15" s="14" t="inlineStr">
        <is>
          <t>Śruba</t>
        </is>
      </c>
      <c r="B15" s="15" t="inlineStr">
        <is>
          <t>M16</t>
        </is>
      </c>
      <c r="C15" s="15" t="n">
        <v>8.800000000000001</v>
      </c>
      <c r="D15" s="5" t="n">
        <v>165</v>
      </c>
      <c r="E15" s="5" t="n">
        <v>16</v>
      </c>
      <c r="F15" s="6" t="n">
        <v>5.51</v>
      </c>
    </row>
    <row r="16">
      <c r="A16" s="17" t="inlineStr">
        <is>
          <t>Śruba</t>
        </is>
      </c>
      <c r="B16" s="18" t="inlineStr">
        <is>
          <t>M16</t>
        </is>
      </c>
      <c r="C16" s="18" t="n">
        <v>9.800000000000001</v>
      </c>
      <c r="D16" s="8" t="n">
        <v>290</v>
      </c>
      <c r="E16" s="8" t="n">
        <v>8</v>
      </c>
      <c r="F16" s="9" t="n">
        <v>4.33</v>
      </c>
    </row>
    <row r="17">
      <c r="A17" s="14" t="inlineStr">
        <is>
          <t>Śruba</t>
        </is>
      </c>
      <c r="B17" s="15" t="inlineStr">
        <is>
          <t>M16</t>
        </is>
      </c>
      <c r="C17" s="15" t="n">
        <v>8.800000000000001</v>
      </c>
      <c r="D17" s="5" t="n">
        <v>345</v>
      </c>
      <c r="E17" s="5" t="n">
        <v>8</v>
      </c>
      <c r="F17" s="6" t="n">
        <v>5.03</v>
      </c>
    </row>
    <row r="18">
      <c r="A18" s="17" t="inlineStr">
        <is>
          <t>Śruba</t>
        </is>
      </c>
      <c r="B18" s="18" t="inlineStr">
        <is>
          <t>M20</t>
        </is>
      </c>
      <c r="C18" s="18" t="n">
        <v>8.800000000000001</v>
      </c>
      <c r="D18" s="8" t="n">
        <v>55</v>
      </c>
      <c r="E18" s="8" t="n">
        <v>20</v>
      </c>
      <c r="F18" s="9" t="n">
        <v>5.98</v>
      </c>
    </row>
    <row r="19">
      <c r="A19" s="14" t="inlineStr">
        <is>
          <t>Śruba</t>
        </is>
      </c>
      <c r="B19" s="15" t="inlineStr">
        <is>
          <t>M20</t>
        </is>
      </c>
      <c r="C19" s="15" t="n">
        <v>8.800000000000001</v>
      </c>
      <c r="D19" s="5" t="n">
        <v>65</v>
      </c>
      <c r="E19" s="5" t="n">
        <v>6</v>
      </c>
      <c r="F19" s="6" t="n">
        <v>1.94</v>
      </c>
    </row>
    <row r="20">
      <c r="A20" s="17" t="inlineStr">
        <is>
          <t>Śruba</t>
        </is>
      </c>
      <c r="B20" s="18" t="inlineStr">
        <is>
          <t>M20</t>
        </is>
      </c>
      <c r="C20" s="18" t="n">
        <v>8.800000000000001</v>
      </c>
      <c r="D20" s="8" t="n">
        <v>70</v>
      </c>
      <c r="E20" s="8" t="n">
        <v>8</v>
      </c>
      <c r="F20" s="9" t="n">
        <v>2.69</v>
      </c>
    </row>
    <row r="21">
      <c r="A21" s="14" t="inlineStr">
        <is>
          <t>Śruba</t>
        </is>
      </c>
      <c r="B21" s="15" t="inlineStr">
        <is>
          <t>M20</t>
        </is>
      </c>
      <c r="C21" s="15" t="n">
        <v>8.800000000000001</v>
      </c>
      <c r="D21" s="5" t="n">
        <v>110</v>
      </c>
      <c r="E21" s="5" t="n">
        <v>8</v>
      </c>
      <c r="F21" s="6" t="n">
        <v>3.48</v>
      </c>
    </row>
    <row r="22">
      <c r="A22" s="17" t="inlineStr">
        <is>
          <t>Nakrętka</t>
        </is>
      </c>
      <c r="B22" s="18" t="inlineStr">
        <is>
          <t>M12</t>
        </is>
      </c>
      <c r="C22" s="18" t="n">
        <v>4.6</v>
      </c>
      <c r="D22" s="8" t="inlineStr">
        <is>
          <t>—</t>
        </is>
      </c>
      <c r="E22" s="8" t="n">
        <v>19</v>
      </c>
      <c r="F22" s="9" t="n">
        <v>0.44</v>
      </c>
    </row>
    <row r="23">
      <c r="A23" s="14" t="inlineStr">
        <is>
          <t>Nakrętka</t>
        </is>
      </c>
      <c r="B23" s="15" t="inlineStr">
        <is>
          <t>M12</t>
        </is>
      </c>
      <c r="C23" s="15" t="n">
        <v>8.800000000000001</v>
      </c>
      <c r="D23" s="5" t="inlineStr">
        <is>
          <t>—</t>
        </is>
      </c>
      <c r="E23" s="5" t="n">
        <v>10</v>
      </c>
      <c r="F23" s="6" t="n">
        <v>0.23</v>
      </c>
    </row>
    <row r="24">
      <c r="A24" s="17" t="inlineStr">
        <is>
          <t>Nakrętka</t>
        </is>
      </c>
      <c r="B24" s="18" t="inlineStr">
        <is>
          <t>M14</t>
        </is>
      </c>
      <c r="C24" s="18" t="n">
        <v>8.800000000000001</v>
      </c>
      <c r="D24" s="8" t="inlineStr">
        <is>
          <t>—</t>
        </is>
      </c>
      <c r="E24" s="8" t="n">
        <v>42</v>
      </c>
      <c r="F24" s="9" t="n">
        <v>1.56</v>
      </c>
    </row>
    <row r="25">
      <c r="A25" s="14" t="inlineStr">
        <is>
          <t>Nakrętka</t>
        </is>
      </c>
      <c r="B25" s="15" t="inlineStr">
        <is>
          <t>M16</t>
        </is>
      </c>
      <c r="C25" s="15" t="n">
        <v>4.6</v>
      </c>
      <c r="D25" s="5" t="inlineStr">
        <is>
          <t>—</t>
        </is>
      </c>
      <c r="E25" s="5" t="n">
        <v>20</v>
      </c>
      <c r="F25" s="6" t="n">
        <v>1.11</v>
      </c>
    </row>
    <row r="26">
      <c r="A26" s="17" t="inlineStr">
        <is>
          <t>Nakrętka</t>
        </is>
      </c>
      <c r="B26" s="18" t="inlineStr">
        <is>
          <t>M16</t>
        </is>
      </c>
      <c r="C26" s="18" t="n">
        <v>8.800000000000001</v>
      </c>
      <c r="D26" s="8" t="inlineStr">
        <is>
          <t>—</t>
        </is>
      </c>
      <c r="E26" s="8" t="n">
        <v>228</v>
      </c>
      <c r="F26" s="9" t="n">
        <v>12.62</v>
      </c>
    </row>
    <row r="27">
      <c r="A27" s="14" t="inlineStr">
        <is>
          <t>Nakrętka</t>
        </is>
      </c>
      <c r="B27" s="15" t="inlineStr">
        <is>
          <t>M16</t>
        </is>
      </c>
      <c r="C27" s="15" t="n">
        <v>9.800000000000001</v>
      </c>
      <c r="D27" s="5" t="inlineStr">
        <is>
          <t>—</t>
        </is>
      </c>
      <c r="E27" s="5" t="n">
        <v>8</v>
      </c>
      <c r="F27" s="6" t="n">
        <v>0.44</v>
      </c>
    </row>
    <row r="28">
      <c r="A28" s="17" t="inlineStr">
        <is>
          <t>Nakrętka</t>
        </is>
      </c>
      <c r="B28" s="18" t="inlineStr">
        <is>
          <t>M20</t>
        </is>
      </c>
      <c r="C28" s="18" t="n">
        <v>8.800000000000001</v>
      </c>
      <c r="D28" s="8" t="inlineStr">
        <is>
          <t>—</t>
        </is>
      </c>
      <c r="E28" s="8" t="n">
        <v>42</v>
      </c>
      <c r="F28" s="9" t="n">
        <v>4.54</v>
      </c>
    </row>
    <row r="29">
      <c r="A29" s="14" t="inlineStr">
        <is>
          <t>Podkładka</t>
        </is>
      </c>
      <c r="B29" s="15" t="inlineStr">
        <is>
          <t>M12</t>
        </is>
      </c>
      <c r="C29" s="15" t="n">
        <v>4.6</v>
      </c>
      <c r="D29" s="5" t="inlineStr">
        <is>
          <t>—</t>
        </is>
      </c>
      <c r="E29" s="5" t="n">
        <v>38</v>
      </c>
      <c r="F29" s="6" t="n">
        <v>0.24</v>
      </c>
    </row>
    <row r="30">
      <c r="A30" s="17" t="inlineStr">
        <is>
          <t>Podkładka</t>
        </is>
      </c>
      <c r="B30" s="18" t="inlineStr">
        <is>
          <t>M12</t>
        </is>
      </c>
      <c r="C30" s="18" t="n">
        <v>8.800000000000001</v>
      </c>
      <c r="D30" s="8" t="inlineStr">
        <is>
          <t>—</t>
        </is>
      </c>
      <c r="E30" s="8" t="n">
        <v>20</v>
      </c>
      <c r="F30" s="9" t="n">
        <v>0.13</v>
      </c>
    </row>
    <row r="31">
      <c r="A31" s="14" t="inlineStr">
        <is>
          <t>Podkładka</t>
        </is>
      </c>
      <c r="B31" s="15" t="inlineStr">
        <is>
          <t>M14</t>
        </is>
      </c>
      <c r="C31" s="15" t="n">
        <v>8.800000000000001</v>
      </c>
      <c r="D31" s="5" t="inlineStr">
        <is>
          <t>—</t>
        </is>
      </c>
      <c r="E31" s="5" t="n">
        <v>84</v>
      </c>
      <c r="F31" s="6" t="n">
        <v>0.73</v>
      </c>
    </row>
    <row r="32">
      <c r="A32" s="17" t="inlineStr">
        <is>
          <t>Podkładka</t>
        </is>
      </c>
      <c r="B32" s="18" t="inlineStr">
        <is>
          <t>M16</t>
        </is>
      </c>
      <c r="C32" s="18" t="n">
        <v>4.6</v>
      </c>
      <c r="D32" s="8" t="inlineStr">
        <is>
          <t>—</t>
        </is>
      </c>
      <c r="E32" s="8" t="n">
        <v>36</v>
      </c>
      <c r="F32" s="9" t="n">
        <v>0.49</v>
      </c>
    </row>
    <row r="33">
      <c r="A33" s="14" t="inlineStr">
        <is>
          <t>Podkładka</t>
        </is>
      </c>
      <c r="B33" s="15" t="inlineStr">
        <is>
          <t>M16</t>
        </is>
      </c>
      <c r="C33" s="15" t="n">
        <v>8.800000000000001</v>
      </c>
      <c r="D33" s="5" t="inlineStr">
        <is>
          <t>—</t>
        </is>
      </c>
      <c r="E33" s="5" t="n">
        <v>456</v>
      </c>
      <c r="F33" s="6" t="n">
        <v>6.15</v>
      </c>
    </row>
    <row r="34">
      <c r="A34" s="17" t="inlineStr">
        <is>
          <t>Podkładka</t>
        </is>
      </c>
      <c r="B34" s="18" t="inlineStr">
        <is>
          <t>M16</t>
        </is>
      </c>
      <c r="C34" s="18" t="n">
        <v>9.800000000000001</v>
      </c>
      <c r="D34" s="8" t="inlineStr">
        <is>
          <t>—</t>
        </is>
      </c>
      <c r="E34" s="8" t="n">
        <v>16</v>
      </c>
      <c r="F34" s="9" t="n">
        <v>0.22</v>
      </c>
    </row>
    <row r="35">
      <c r="A35" s="14" t="inlineStr">
        <is>
          <t>Podkładka</t>
        </is>
      </c>
      <c r="B35" s="15" t="inlineStr">
        <is>
          <t>M20</t>
        </is>
      </c>
      <c r="C35" s="15" t="n">
        <v>8.800000000000001</v>
      </c>
      <c r="D35" s="5" t="inlineStr">
        <is>
          <t>—</t>
        </is>
      </c>
      <c r="E35" s="5" t="n">
        <v>84</v>
      </c>
      <c r="F35" s="6" t="n">
        <v>1.77</v>
      </c>
    </row>
    <row r="36">
      <c r="A36" s="10" t="inlineStr">
        <is>
          <t>RAZEM</t>
        </is>
      </c>
      <c r="B36" s="20" t="inlineStr"/>
      <c r="C36" s="20" t="inlineStr"/>
      <c r="D36" s="20" t="inlineStr"/>
      <c r="E36" s="11">
        <f>SUM(E5:E35)</f>
        <v>1472</v>
      </c>
      <c r="F36" s="12">
        <f>SUM(F5:F35)</f>
        <v>118.18</v>
      </c>
    </row>
  </sheetData>
  <autoFilter ref="A4:F35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2026-07-17T19:56:28Z</dcterms:created>
  <dcterms:modified xsi:type="dcterms:W3CDTF">2026-07-17T19:56:28Z</dcterms:modified>
</cp:coreProperties>
</file>